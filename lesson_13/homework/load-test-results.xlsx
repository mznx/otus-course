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gor\Desktop\"/>
    </mc:Choice>
  </mc:AlternateContent>
  <bookViews>
    <workbookView xWindow="0" yWindow="0" windowWidth="28800" windowHeight="112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C5" i="1"/>
  <c r="C4" i="1"/>
  <c r="C3" i="1"/>
  <c r="C2" i="1"/>
  <c r="E5" i="1"/>
  <c r="E4" i="1"/>
  <c r="E2" i="1"/>
  <c r="E3" i="1"/>
  <c r="B5" i="1"/>
  <c r="B4" i="1"/>
  <c r="B3" i="1"/>
  <c r="B2" i="1"/>
  <c r="A5" i="1"/>
  <c r="A4" i="1"/>
  <c r="A3" i="1"/>
  <c r="A2" i="1"/>
</calcChain>
</file>

<file path=xl/sharedStrings.xml><?xml version="1.0" encoding="utf-8"?>
<sst xmlns="http://schemas.openxmlformats.org/spreadsheetml/2006/main" count="5" uniqueCount="5">
  <si>
    <t>vus</t>
  </si>
  <si>
    <t>throughput (after)</t>
  </si>
  <si>
    <t>latency (after)</t>
  </si>
  <si>
    <t>latency (before)</t>
  </si>
  <si>
    <t>throughput (before)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</si>
</sst>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latency (before)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numCache>
            </c:numRef>
          </c:cat>
          <c:val>
            <c:numRef>
              <c:f>Лист1!$B$2:$B$5</c:f>
              <c:numCache>
                <c:formatCode>General</c:formatCode>
                <c:ptCount val="4"/>
                <c:pt idx="0">
                  <c:v>22.84</c:v>
                </c:pt>
                <c:pt idx="1">
                  <c:v>143.96</c:v>
                </c:pt>
                <c:pt idx="2">
                  <c:v>1070</c:v>
                </c:pt>
                <c:pt idx="3">
                  <c:v>5010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6-4183-BAF1-ED40046426BB}"/>
            </c:ext>
          </c:extLst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latency (after)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numCache>
            </c:numRef>
          </c:cat>
          <c:val>
            <c:numRef>
              <c:f>Лист1!$E$2:$E$5</c:f>
              <c:numCache>
                <c:formatCode>General</c:formatCode>
                <c:ptCount val="4"/>
                <c:pt idx="0">
                  <c:v>0.81100000000000005</c:v>
                </c:pt>
                <c:pt idx="1">
                  <c:v>5.84</c:v>
                </c:pt>
                <c:pt idx="2">
                  <c:v>61.15</c:v>
                </c:pt>
                <c:pt idx="3">
                  <c:v>887.88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D6-4183-BAF1-ED400464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957872"/>
        <c:axId val="476961152"/>
      </c:lineChart>
      <c:catAx>
        <c:axId val="476957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VU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961152"/>
        <c:crosses val="autoZero"/>
        <c:auto val="1"/>
        <c:lblAlgn val="ctr"/>
        <c:lblOffset val="100"/>
        <c:noMultiLvlLbl val="0"/>
      </c:catAx>
      <c:valAx>
        <c:axId val="4769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95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throughput (before)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numCache>
            </c:numRef>
          </c:cat>
          <c:val>
            <c:numRef>
              <c:f>Лист1!$C$2:$C$5</c:f>
              <c:numCache>
                <c:formatCode>General</c:formatCode>
                <c:ptCount val="4"/>
                <c:pt idx="0">
                  <c:v>43.74</c:v>
                </c:pt>
                <c:pt idx="1">
                  <c:v>69.28</c:v>
                </c:pt>
                <c:pt idx="2">
                  <c:v>90.93</c:v>
                </c:pt>
                <c:pt idx="3">
                  <c:v>101.99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74-4398-969D-B6692EA320F8}"/>
            </c:ext>
          </c:extLst>
        </c:ser>
        <c:ser>
          <c:idx val="1"/>
          <c:order val="1"/>
          <c:tx>
            <c:strRef>
              <c:f>Лист1!$F$1</c:f>
              <c:strCache>
                <c:ptCount val="1"/>
                <c:pt idx="0">
                  <c:v>throughput (after)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numCache>
            </c:numRef>
          </c:cat>
          <c:val>
            <c:numRef>
              <c:f>Лист1!$F$2:$F$5</c:f>
              <c:numCache>
                <c:formatCode>General</c:formatCode>
                <c:ptCount val="4"/>
                <c:pt idx="0">
                  <c:v>1224.3399999999999</c:v>
                </c:pt>
                <c:pt idx="1">
                  <c:v>1705.91</c:v>
                </c:pt>
                <c:pt idx="2">
                  <c:v>1624.48</c:v>
                </c:pt>
                <c:pt idx="3">
                  <c:v>567.77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74-4398-969D-B6692EA32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957872"/>
        <c:axId val="476961152"/>
      </c:lineChart>
      <c:catAx>
        <c:axId val="476957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VU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961152"/>
        <c:crosses val="autoZero"/>
        <c:auto val="1"/>
        <c:lblAlgn val="ctr"/>
        <c:lblOffset val="100"/>
        <c:noMultiLvlLbl val="0"/>
      </c:catAx>
      <c:valAx>
        <c:axId val="4769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req/s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95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6</xdr:row>
      <xdr:rowOff>190499</xdr:rowOff>
    </xdr:from>
    <xdr:to>
      <xdr:col>5</xdr:col>
      <xdr:colOff>936624</xdr:colOff>
      <xdr:row>24</xdr:row>
      <xdr:rowOff>9524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7</xdr:row>
      <xdr:rowOff>9525</xdr:rowOff>
    </xdr:from>
    <xdr:to>
      <xdr:col>15</xdr:col>
      <xdr:colOff>193675</xdr:colOff>
      <xdr:row>24</xdr:row>
      <xdr:rowOff>19050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28" sqref="B28"/>
    </sheetView>
  </sheetViews>
  <sheetFormatPr defaultRowHeight="15" x14ac:dyDescent="0.25"/>
  <cols>
    <col min="2" max="2" width="17.140625" customWidth="1"/>
    <col min="3" max="3" width="18.5703125" customWidth="1"/>
    <col min="5" max="5" width="17.140625" customWidth="1"/>
    <col min="6" max="6" width="18.5703125" customWidth="1"/>
  </cols>
  <sheetData>
    <row r="1" spans="1:6" s="1" customFormat="1" x14ac:dyDescent="0.25">
      <c r="A1" s="1" t="s">
        <v>0</v>
      </c>
      <c r="B1" s="1" t="s">
        <v>3</v>
      </c>
      <c r="C1" s="1" t="s">
        <v>4</v>
      </c>
      <c r="E1" s="1" t="s">
        <v>2</v>
      </c>
      <c r="F1" s="1" t="s">
        <v>1</v>
      </c>
    </row>
    <row r="2" spans="1:6" x14ac:dyDescent="0.25">
      <c r="A2">
        <f>1</f>
        <v>1</v>
      </c>
      <c r="B2">
        <f>22.84</f>
        <v>22.84</v>
      </c>
      <c r="C2">
        <f>43.74</f>
        <v>43.74</v>
      </c>
      <c r="E2">
        <f>0.811</f>
        <v>0.81100000000000005</v>
      </c>
      <c r="F2">
        <f>1224.34</f>
        <v>1224.3399999999999</v>
      </c>
    </row>
    <row r="3" spans="1:6" x14ac:dyDescent="0.25">
      <c r="A3">
        <f>10</f>
        <v>10</v>
      </c>
      <c r="B3">
        <f>143.96</f>
        <v>143.96</v>
      </c>
      <c r="C3">
        <f>69.28</f>
        <v>69.28</v>
      </c>
      <c r="E3">
        <f>5.84</f>
        <v>5.84</v>
      </c>
      <c r="F3">
        <f>1705.91</f>
        <v>1705.91</v>
      </c>
    </row>
    <row r="4" spans="1:6" x14ac:dyDescent="0.25">
      <c r="A4">
        <f>100</f>
        <v>100</v>
      </c>
      <c r="B4">
        <f>1070</f>
        <v>1070</v>
      </c>
      <c r="C4">
        <f>90.93</f>
        <v>90.93</v>
      </c>
      <c r="E4">
        <f>61.15</f>
        <v>61.15</v>
      </c>
      <c r="F4">
        <f>1624.48</f>
        <v>1624.48</v>
      </c>
    </row>
    <row r="5" spans="1:6" x14ac:dyDescent="0.25">
      <c r="A5">
        <f>1000</f>
        <v>1000</v>
      </c>
      <c r="B5">
        <f>5010</f>
        <v>5010</v>
      </c>
      <c r="C5">
        <f>101.99</f>
        <v>101.99</v>
      </c>
      <c r="E5">
        <f>887.88</f>
        <v>887.88</v>
      </c>
      <c r="F5">
        <f>567.77</f>
        <v>567.77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Egor</cp:lastModifiedBy>
  <dcterms:created xsi:type="dcterms:W3CDTF">2025-11-16T08:43:56Z</dcterms:created>
  <dcterms:modified xsi:type="dcterms:W3CDTF">2025-11-16T11:36:14Z</dcterms:modified>
</cp:coreProperties>
</file>